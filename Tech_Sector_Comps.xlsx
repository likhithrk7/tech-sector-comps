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s Table" sheetId="1" state="visible" r:id="rId3"/>
    <sheet name="Implied Valuation" sheetId="2" state="visible" r:id="rId4"/>
    <sheet name="Ranking &amp; Analysis" sheetId="3" state="visible" r:id="rId5"/>
    <sheet name="Methodology &amp; Sourc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<sst xmlns="http://schemas.openxmlformats.org/spreadsheetml/2006/main" count="118" uniqueCount="93">
  <si>
    <t xml:space="preserve">TECHNOLOGY SECTOR — COMPARABLE COMPANY ANALYSIS (COMPS)  |  LTM Data as of FY2024</t>
  </si>
  <si>
    <t xml:space="preserve">Companies: MSFT, AAPL, GOOGL, META, AMZN  |  Currency: USD ($mm)  |  Source: Company 10-K FY2024 (SEC EDGAR)</t>
  </si>
  <si>
    <t xml:space="preserve">Company</t>
  </si>
  <si>
    <t xml:space="preserve">Ticker</t>
  </si>
  <si>
    <t xml:space="preserve">Market Cap
($mm)</t>
  </si>
  <si>
    <t xml:space="preserve">Enterprise
Value ($mm)</t>
  </si>
  <si>
    <t xml:space="preserve">Revenue
($mm)</t>
  </si>
  <si>
    <t xml:space="preserve">EBITDA
($mm)</t>
  </si>
  <si>
    <t xml:space="preserve">EV/Revenue</t>
  </si>
  <si>
    <t xml:space="preserve">EV/EBITDA</t>
  </si>
  <si>
    <t xml:space="preserve">P/E Ratio</t>
  </si>
  <si>
    <t xml:space="preserve">Revenue
Growth</t>
  </si>
  <si>
    <t xml:space="preserve">Notes</t>
  </si>
  <si>
    <t xml:space="preserve">Microsoft</t>
  </si>
  <si>
    <t xml:space="preserve">MSFT</t>
  </si>
  <si>
    <t xml:space="preserve">Azure cloud + Copilot AI; best-in-class margins</t>
  </si>
  <si>
    <t xml:space="preserve">Apple</t>
  </si>
  <si>
    <t xml:space="preserve">AAPL</t>
  </si>
  <si>
    <t xml:space="preserve">iPhone + Services flywheel; massive buyback program</t>
  </si>
  <si>
    <t xml:space="preserve">Alphabet</t>
  </si>
  <si>
    <t xml:space="preserve">GOOGL</t>
  </si>
  <si>
    <t xml:space="preserve">Search monopoly + YouTube + Google Cloud growth</t>
  </si>
  <si>
    <t xml:space="preserve">Meta</t>
  </si>
  <si>
    <t xml:space="preserve">META</t>
  </si>
  <si>
    <t xml:space="preserve">Social media + Reels recovery; AI/metaverse bet</t>
  </si>
  <si>
    <t xml:space="preserve">Amazon</t>
  </si>
  <si>
    <t xml:space="preserve">AMZN</t>
  </si>
  <si>
    <t xml:space="preserve">AWS cloud leader + e-commerce + advertising</t>
  </si>
  <si>
    <t xml:space="preserve">PEER GROUP STATISTICS</t>
  </si>
  <si>
    <t xml:space="preserve">Mean</t>
  </si>
  <si>
    <t xml:space="preserve">Median</t>
  </si>
  <si>
    <t xml:space="preserve">High</t>
  </si>
  <si>
    <t xml:space="preserve">Low</t>
  </si>
  <si>
    <t xml:space="preserve">IMPLIED VALUATION — WHAT IS EACH COMPANY WORTH BASED ON PEER MULTIPLES?</t>
  </si>
  <si>
    <t xml:space="preserve">Uses peer group median multiples to derive implied Enterprise Value and share price for each company</t>
  </si>
  <si>
    <t xml:space="preserve">Metric Used</t>
  </si>
  <si>
    <t xml:space="preserve">Company Value
($mm)</t>
  </si>
  <si>
    <t xml:space="preserve">Median Multiple
(Peer Group)</t>
  </si>
  <si>
    <t xml:space="preserve">Implied EV
($mm)</t>
  </si>
  <si>
    <t xml:space="preserve">Actual EV
($mm)</t>
  </si>
  <si>
    <t xml:space="preserve">Premium /
(Discount)</t>
  </si>
  <si>
    <t xml:space="preserve">EV/EBITDA IMPLIED VALUATION</t>
  </si>
  <si>
    <t xml:space="preserve">EBITDA ($mm)</t>
  </si>
  <si>
    <t xml:space="preserve">EV/REVENUE IMPLIED VALUATION</t>
  </si>
  <si>
    <t xml:space="preserve">Revenue ($mm)</t>
  </si>
  <si>
    <t xml:space="preserve">RANKING &amp; INVESTMENT ANALYSIS — WHICH STOCK IS MOST ATTRACTIVE?</t>
  </si>
  <si>
    <t xml:space="preserve">Ranks each company across key metrics. Lower multiple = cheaper valuation.</t>
  </si>
  <si>
    <t xml:space="preserve">EV/Revenue
Rank</t>
  </si>
  <si>
    <t xml:space="preserve">EV/EBITDA
Rank</t>
  </si>
  <si>
    <t xml:space="preserve">P/E Rank</t>
  </si>
  <si>
    <t xml:space="preserve">Rev Growth
Rank</t>
  </si>
  <si>
    <t xml:space="preserve">OVERALL
RANK</t>
  </si>
  <si>
    <t xml:space="preserve">Analyst Commentary</t>
  </si>
  <si>
    <t xml:space="preserve">Best quality franchise; AI monetization underway; premium justified</t>
  </si>
  <si>
    <t xml:space="preserve">Cheapest on EV/EBITDA; Services growth re-rates multiple higher</t>
  </si>
  <si>
    <t xml:space="preserve">Cheapest on EV/Revenue and P/E; AI catch-up trade; Search moat intact</t>
  </si>
  <si>
    <t xml:space="preserve">Fastest revenue growth; margin recovery story; cheapest on growth basis</t>
  </si>
  <si>
    <t xml:space="preserve">Most expensive on revenue basis; AWS re-acceleration is key catalyst</t>
  </si>
  <si>
    <t xml:space="preserve">RANKING GUIDE &amp; INVESTMENT CONCLUSION</t>
  </si>
  <si>
    <t xml:space="preserve">🟢 Rank 1-2</t>
  </si>
  <si>
    <t xml:space="preserve">Cheapest / most attractive on this metric</t>
  </si>
  <si>
    <t xml:space="preserve">🟡 Rank 3</t>
  </si>
  <si>
    <t xml:space="preserve">Fair value / in-line with peers</t>
  </si>
  <si>
    <t xml:space="preserve">🔴 Rank 4-5</t>
  </si>
  <si>
    <t xml:space="preserve">Most expensive / least attractive on this metric</t>
  </si>
  <si>
    <t xml:space="preserve">📌 TOP PICK: ALPHABET (GOOGL)</t>
  </si>
  <si>
    <t xml:space="preserve">Cheapest on both EV/Revenue (6.7x) and P/E (28.4x) vs peers. Search moat intact, Cloud accelerating, AI catch-up underway. Most margin of safety.</t>
  </si>
  <si>
    <t xml:space="preserve">📌 RUNNER-UP: APPLE (AAPL)</t>
  </si>
  <si>
    <t xml:space="preserve">Cheapest on EV/EBITDA (21.2x). Services mix shift structurally improving margins. Massive buyback program supports EPS growth even with modest revenue growth.</t>
  </si>
  <si>
    <t xml:space="preserve">📌 AVOID NEAR-TERM: AMAZON (AMZN)</t>
  </si>
  <si>
    <t xml:space="preserve">Most expensive on EV/Revenue (3.5x) and EV/EBITDA (24.1x). AWS re-acceleration needed to justify premium. Better entry point below $170.</t>
  </si>
  <si>
    <t xml:space="preserve">METHODOLOGY &amp; DATA SOURCES</t>
  </si>
  <si>
    <t xml:space="preserve">WHAT IS A COMPARABLE COMPANY ANALYSIS (COMPS)?</t>
  </si>
  <si>
    <t xml:space="preserve">A Comparable Company Analysis (Comps) is a relative valuation method that values a company based on how similar companies in the same industry are valued by the market. It is one of the three core valuation methodologies used by investment bankers and equity research analysts, alongside DCF analysis and Precedent Transaction analysis.</t>
  </si>
  <si>
    <t xml:space="preserve">HOW TO READ THIS MODEL</t>
  </si>
  <si>
    <t xml:space="preserve">Step 1 — Comps Table: Look at the raw trading multiples for each company (EV/Revenue, EV/EBITDA, P/E). Lower multiples generally mean cheaper relative valuation.</t>
  </si>
  <si>
    <t xml:space="preserve">Step 2 — Peer Statistics: The Mean, Median, High, and Low rows show the range of multiples across the peer group. Median is most commonly used as it is less affected by outliers.</t>
  </si>
  <si>
    <t xml:space="preserve">Step 3 — Implied Valuation: Apply the peer median multiple to each company's financial metric (Revenue or EBITDA) to derive an implied Enterprise Value. Compare to actual EV to see if the stock looks cheap or expensive.</t>
  </si>
  <si>
    <t xml:space="preserve">Step 4 — Ranking: Each company is ranked 1-5 across all metrics. The overall rank gives a quick view of relative attractiveness.</t>
  </si>
  <si>
    <t xml:space="preserve">KEY METRICS EXPLAINED</t>
  </si>
  <si>
    <t xml:space="preserve">Enterprise Value (EV): Market Cap + Total Debt − Cash. Represents the total value of the business (what you'd pay to acquire it outright).</t>
  </si>
  <si>
    <t xml:space="preserve">EV/Revenue: Enterprise Value divided by Revenue. Useful for high-growth companies or those with negative earnings. Lower = cheaper.</t>
  </si>
  <si>
    <t xml:space="preserve">EV/EBITDA: Enterprise Value divided by EBITDA (Earnings Before Interest, Tax, Depreciation &amp; Amortization). Most widely used multiple in M&amp;A and LBO analysis.</t>
  </si>
  <si>
    <t xml:space="preserve">P/E Ratio: Stock Price divided by Earnings Per Share. Simple and widely quoted but affected by capital structure and accounting differences.</t>
  </si>
  <si>
    <t xml:space="preserve">Revenue Growth: Year-over-year revenue growth. High-growth companies typically trade at premium multiples.</t>
  </si>
  <si>
    <t xml:space="preserve">DATA SOURCES</t>
  </si>
  <si>
    <t xml:space="preserve">• Microsoft FY2024 10-K — SEC EDGAR: https://www.sec.gov/cgi-bin/browse-edgar?action=getcompany&amp;CIK=MSFT&amp;type=10-K</t>
  </si>
  <si>
    <t xml:space="preserve">• Apple FY2024 10-K — SEC EDGAR: https://www.sec.gov/cgi-bin/browse-edgar?action=getcompany&amp;CIK=AAPL&amp;type=10-K</t>
  </si>
  <si>
    <t xml:space="preserve">• Alphabet FY2024 10-K — SEC EDGAR: https://www.sec.gov/cgi-bin/browse-edgar?action=getcompany&amp;CIK=GOOGL&amp;type=10-K</t>
  </si>
  <si>
    <t xml:space="preserve">• Meta FY2024 10-K — SEC EDGAR: https://www.sec.gov/cgi-bin/browse-edgar?action=getcompany&amp;CIK=META&amp;type=10-K</t>
  </si>
  <si>
    <t xml:space="preserve">• Amazon FY2024 10-K — SEC EDGAR: https://www.sec.gov/cgi-bin/browse-edgar?action=getcompany&amp;CIK=AMZN&amp;type=10-K</t>
  </si>
  <si>
    <t xml:space="preserve">• Market cap and EV data as of approximate FY2024 fiscal year end dates</t>
  </si>
  <si>
    <t xml:space="preserve">⚠️  DISCLAIMER: This model is for educational and portfolio purposes only. It does not constitute investment advice.</t>
  </si>
</sst>
</file>

<file path=xl/styles.xml><?xml version="1.0" encoding="utf-8"?>
<styleSheet xmlns="http://schemas.openxmlformats.org/spreadsheetml/2006/main">
  <numFmts count="6">
    <numFmt numFmtId="164" formatCode="General"/>
    <numFmt numFmtId="165" formatCode="#,##0"/>
    <numFmt numFmtId="166" formatCode="0.0\x"/>
    <numFmt numFmtId="167" formatCode="0.0%"/>
    <numFmt numFmtId="168" formatCode="0"/>
    <numFmt numFmtId="169" formatCode="0.0"/>
  </numFmts>
  <fonts count="17">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000000"/>
      <name val="Arial"/>
      <family val="0"/>
      <charset val="1"/>
    </font>
    <font>
      <b val="true"/>
      <sz val="10"/>
      <color rgb="FFFFFFFF"/>
      <name val="Arial"/>
      <family val="0"/>
      <charset val="1"/>
    </font>
    <font>
      <b val="true"/>
      <sz val="10"/>
      <color rgb="FF2F5496"/>
      <name val="Arial"/>
      <family val="0"/>
      <charset val="1"/>
    </font>
    <font>
      <sz val="10"/>
      <color rgb="FF000000"/>
      <name val="Arial"/>
      <family val="0"/>
      <charset val="1"/>
    </font>
    <font>
      <sz val="9"/>
      <color rgb="FF000000"/>
      <name val="Arial"/>
      <family val="0"/>
      <charset val="1"/>
    </font>
    <font>
      <sz val="10"/>
      <color rgb="FF008000"/>
      <name val="Arial"/>
      <family val="0"/>
      <charset val="1"/>
    </font>
    <font>
      <b val="true"/>
      <sz val="11"/>
      <color rgb="FF000000"/>
      <name val="Arial"/>
      <family val="0"/>
      <charset val="1"/>
    </font>
    <font>
      <b val="true"/>
      <sz val="12"/>
      <color rgb="FF1F3864"/>
      <name val="Arial"/>
      <family val="0"/>
      <charset val="1"/>
    </font>
    <font>
      <sz val="10"/>
      <name val="Arial"/>
      <family val="0"/>
      <charset val="1"/>
    </font>
    <font>
      <b val="true"/>
      <sz val="20"/>
      <color rgb="FFFFFFFF"/>
      <name val="Arial"/>
      <family val="0"/>
      <charset val="1"/>
    </font>
    <font>
      <sz val="8"/>
      <color rgb="FF000000"/>
      <name val="Arial"/>
      <family val="0"/>
      <charset val="1"/>
    </font>
    <font>
      <b val="true"/>
      <sz val="18"/>
      <color rgb="FF000000"/>
      <name val="Arial"/>
      <family val="0"/>
      <charset val="1"/>
    </font>
  </fonts>
  <fills count="14">
    <fill>
      <patternFill patternType="none"/>
    </fill>
    <fill>
      <patternFill patternType="gray125"/>
    </fill>
    <fill>
      <patternFill patternType="solid">
        <fgColor rgb="FF1F3864"/>
        <bgColor rgb="FF333333"/>
      </patternFill>
    </fill>
    <fill>
      <patternFill patternType="solid">
        <fgColor rgb="FFD9E1F2"/>
        <bgColor rgb="FFE8DAEF"/>
      </patternFill>
    </fill>
    <fill>
      <patternFill patternType="solid">
        <fgColor rgb="FF2F5496"/>
        <bgColor rgb="FF1F3864"/>
      </patternFill>
    </fill>
    <fill>
      <patternFill patternType="solid">
        <fgColor rgb="FF4472C4"/>
        <bgColor rgb="FF666699"/>
      </patternFill>
    </fill>
    <fill>
      <patternFill patternType="solid">
        <fgColor rgb="FFE2EFDA"/>
        <bgColor rgb="FFD9E1F2"/>
      </patternFill>
    </fill>
    <fill>
      <patternFill patternType="solid">
        <fgColor rgb="FFFCE4D6"/>
        <bgColor rgb="FFFFDCE0"/>
      </patternFill>
    </fill>
    <fill>
      <patternFill patternType="solid">
        <fgColor rgb="FFFFF2CC"/>
        <bgColor rgb="FFFCE4D6"/>
      </patternFill>
    </fill>
    <fill>
      <patternFill patternType="solid">
        <fgColor rgb="FFE8DAEF"/>
        <bgColor rgb="FFD9E1F2"/>
      </patternFill>
    </fill>
    <fill>
      <patternFill patternType="solid">
        <fgColor rgb="FFFFFF00"/>
        <bgColor rgb="FFFFFF00"/>
      </patternFill>
    </fill>
    <fill>
      <patternFill patternType="solid">
        <fgColor rgb="FFC6EFCE"/>
        <bgColor rgb="FFE2EFDA"/>
      </patternFill>
    </fill>
    <fill>
      <patternFill patternType="solid">
        <fgColor rgb="FFFFDCE0"/>
        <bgColor rgb="FFFCE4D6"/>
      </patternFill>
    </fill>
    <fill>
      <patternFill patternType="solid">
        <fgColor rgb="FFFFFFFF"/>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false" indent="0" shrinkToFit="false"/>
      <protection locked="true" hidden="false"/>
    </xf>
    <xf numFmtId="165" fontId="8" fillId="3" borderId="1" xfId="0" applyFont="true" applyBorder="true" applyAlignment="true" applyProtection="false">
      <alignment horizontal="right" vertical="bottom" textRotation="0" wrapText="false" indent="0" shrinkToFit="false"/>
      <protection locked="true" hidden="false"/>
    </xf>
    <xf numFmtId="166" fontId="8" fillId="3" borderId="1" xfId="0" applyFont="true" applyBorder="true" applyAlignment="true" applyProtection="false">
      <alignment horizontal="right" vertical="bottom" textRotation="0" wrapText="false" indent="0" shrinkToFit="false"/>
      <protection locked="true" hidden="false"/>
    </xf>
    <xf numFmtId="167" fontId="8" fillId="3" borderId="1" xfId="0" applyFont="true" applyBorder="true" applyAlignment="true" applyProtection="false">
      <alignment horizontal="right" vertical="bottom" textRotation="0" wrapText="false" indent="0" shrinkToFit="false"/>
      <protection locked="true" hidden="false"/>
    </xf>
    <xf numFmtId="164" fontId="9" fillId="3" borderId="1" xfId="0" applyFont="true" applyBorder="true" applyAlignment="true" applyProtection="false">
      <alignment horizontal="left" vertical="bottom" textRotation="0" wrapText="false" indent="0" shrinkToFit="false"/>
      <protection locked="true" hidden="false"/>
    </xf>
    <xf numFmtId="164" fontId="5" fillId="6" borderId="1" xfId="0" applyFont="true" applyBorder="true" applyAlignment="true" applyProtection="false">
      <alignment horizontal="left" vertical="bottom" textRotation="0" wrapText="false" indent="0" shrinkToFit="false"/>
      <protection locked="true" hidden="false"/>
    </xf>
    <xf numFmtId="164" fontId="7" fillId="6" borderId="1" xfId="0" applyFont="true" applyBorder="true" applyAlignment="true" applyProtection="false">
      <alignment horizontal="left" vertical="bottom" textRotation="0" wrapText="false" indent="0" shrinkToFit="false"/>
      <protection locked="true" hidden="false"/>
    </xf>
    <xf numFmtId="165" fontId="8" fillId="6" borderId="1" xfId="0" applyFont="true" applyBorder="true" applyAlignment="true" applyProtection="false">
      <alignment horizontal="right" vertical="bottom" textRotation="0" wrapText="false" indent="0" shrinkToFit="false"/>
      <protection locked="true" hidden="false"/>
    </xf>
    <xf numFmtId="166" fontId="8" fillId="6" borderId="1" xfId="0" applyFont="true" applyBorder="true" applyAlignment="true" applyProtection="false">
      <alignment horizontal="right" vertical="bottom" textRotation="0" wrapText="false" indent="0" shrinkToFit="false"/>
      <protection locked="true" hidden="false"/>
    </xf>
    <xf numFmtId="167" fontId="8" fillId="6" borderId="1" xfId="0" applyFont="true" applyBorder="true" applyAlignment="true" applyProtection="false">
      <alignment horizontal="right" vertical="bottom" textRotation="0" wrapText="false" indent="0" shrinkToFit="false"/>
      <protection locked="true" hidden="false"/>
    </xf>
    <xf numFmtId="164" fontId="9" fillId="6" borderId="1" xfId="0" applyFont="true" applyBorder="true" applyAlignment="true" applyProtection="false">
      <alignment horizontal="left" vertical="bottom" textRotation="0" wrapText="false" indent="0" shrinkToFit="false"/>
      <protection locked="true" hidden="false"/>
    </xf>
    <xf numFmtId="164" fontId="5" fillId="7" borderId="1" xfId="0" applyFont="true" applyBorder="true" applyAlignment="true" applyProtection="false">
      <alignment horizontal="left" vertical="bottom" textRotation="0" wrapText="false" indent="0" shrinkToFit="false"/>
      <protection locked="true" hidden="false"/>
    </xf>
    <xf numFmtId="164" fontId="7" fillId="7" borderId="1" xfId="0" applyFont="true" applyBorder="true" applyAlignment="true" applyProtection="false">
      <alignment horizontal="left" vertical="bottom" textRotation="0" wrapText="false" indent="0" shrinkToFit="false"/>
      <protection locked="true" hidden="false"/>
    </xf>
    <xf numFmtId="165" fontId="8" fillId="7" borderId="1" xfId="0" applyFont="true" applyBorder="true" applyAlignment="true" applyProtection="false">
      <alignment horizontal="right" vertical="bottom" textRotation="0" wrapText="false" indent="0" shrinkToFit="false"/>
      <protection locked="true" hidden="false"/>
    </xf>
    <xf numFmtId="166" fontId="8" fillId="7" borderId="1" xfId="0" applyFont="true" applyBorder="true" applyAlignment="true" applyProtection="false">
      <alignment horizontal="right" vertical="bottom" textRotation="0" wrapText="false" indent="0" shrinkToFit="false"/>
      <protection locked="true" hidden="false"/>
    </xf>
    <xf numFmtId="167" fontId="8" fillId="7" borderId="1" xfId="0" applyFont="true" applyBorder="true" applyAlignment="true" applyProtection="false">
      <alignment horizontal="right" vertical="bottom" textRotation="0" wrapText="false" indent="0" shrinkToFit="false"/>
      <protection locked="true" hidden="false"/>
    </xf>
    <xf numFmtId="164" fontId="9" fillId="7" borderId="1" xfId="0" applyFont="true" applyBorder="true" applyAlignment="true" applyProtection="false">
      <alignment horizontal="left" vertical="bottom" textRotation="0" wrapText="false" indent="0" shrinkToFit="false"/>
      <protection locked="true" hidden="false"/>
    </xf>
    <xf numFmtId="164" fontId="5" fillId="8" borderId="1" xfId="0" applyFont="true" applyBorder="true" applyAlignment="true" applyProtection="false">
      <alignment horizontal="left" vertical="bottom" textRotation="0" wrapText="false" indent="0" shrinkToFit="false"/>
      <protection locked="true" hidden="false"/>
    </xf>
    <xf numFmtId="164" fontId="7" fillId="8" borderId="1" xfId="0" applyFont="true" applyBorder="true" applyAlignment="true" applyProtection="false">
      <alignment horizontal="left" vertical="bottom" textRotation="0" wrapText="false" indent="0" shrinkToFit="false"/>
      <protection locked="true" hidden="false"/>
    </xf>
    <xf numFmtId="165" fontId="8" fillId="8" borderId="1" xfId="0" applyFont="true" applyBorder="true" applyAlignment="true" applyProtection="false">
      <alignment horizontal="right" vertical="bottom" textRotation="0" wrapText="false" indent="0" shrinkToFit="false"/>
      <protection locked="true" hidden="false"/>
    </xf>
    <xf numFmtId="166" fontId="8" fillId="8" borderId="1" xfId="0" applyFont="true" applyBorder="true" applyAlignment="true" applyProtection="false">
      <alignment horizontal="right" vertical="bottom" textRotation="0" wrapText="false" indent="0" shrinkToFit="false"/>
      <protection locked="true" hidden="false"/>
    </xf>
    <xf numFmtId="167" fontId="8" fillId="8" borderId="1" xfId="0" applyFont="true" applyBorder="true" applyAlignment="true" applyProtection="false">
      <alignment horizontal="right" vertical="bottom" textRotation="0" wrapText="false" indent="0" shrinkToFit="false"/>
      <protection locked="true" hidden="false"/>
    </xf>
    <xf numFmtId="164" fontId="9" fillId="8" borderId="1" xfId="0" applyFont="true" applyBorder="true" applyAlignment="true" applyProtection="false">
      <alignment horizontal="left" vertical="bottom" textRotation="0" wrapText="false" indent="0" shrinkToFit="false"/>
      <protection locked="true" hidden="false"/>
    </xf>
    <xf numFmtId="164" fontId="5" fillId="9" borderId="1" xfId="0" applyFont="true" applyBorder="true" applyAlignment="true" applyProtection="false">
      <alignment horizontal="left" vertical="bottom" textRotation="0" wrapText="false" indent="0" shrinkToFit="false"/>
      <protection locked="true" hidden="false"/>
    </xf>
    <xf numFmtId="164" fontId="7" fillId="9" borderId="1" xfId="0" applyFont="true" applyBorder="true" applyAlignment="true" applyProtection="false">
      <alignment horizontal="left" vertical="bottom" textRotation="0" wrapText="false" indent="0" shrinkToFit="false"/>
      <protection locked="true" hidden="false"/>
    </xf>
    <xf numFmtId="165" fontId="8" fillId="9" borderId="1" xfId="0" applyFont="true" applyBorder="true" applyAlignment="true" applyProtection="false">
      <alignment horizontal="right" vertical="bottom" textRotation="0" wrapText="false" indent="0" shrinkToFit="false"/>
      <protection locked="true" hidden="false"/>
    </xf>
    <xf numFmtId="166" fontId="8" fillId="9" borderId="1" xfId="0" applyFont="true" applyBorder="true" applyAlignment="true" applyProtection="false">
      <alignment horizontal="right" vertical="bottom" textRotation="0" wrapText="false" indent="0" shrinkToFit="false"/>
      <protection locked="true" hidden="false"/>
    </xf>
    <xf numFmtId="167" fontId="8" fillId="9" borderId="1" xfId="0" applyFont="true" applyBorder="true" applyAlignment="true" applyProtection="false">
      <alignment horizontal="right" vertical="bottom" textRotation="0" wrapText="false" indent="0" shrinkToFit="false"/>
      <protection locked="true" hidden="false"/>
    </xf>
    <xf numFmtId="164" fontId="9" fillId="9" borderId="1" xfId="0" applyFont="true" applyBorder="true" applyAlignment="true" applyProtection="false">
      <alignment horizontal="left" vertical="bottom" textRotation="0" wrapText="false" indent="0" shrinkToFit="false"/>
      <protection locked="true" hidden="false"/>
    </xf>
    <xf numFmtId="164" fontId="6" fillId="2" borderId="2" xfId="0" applyFont="true" applyBorder="true" applyAlignment="true" applyProtection="false">
      <alignment horizontal="left" vertical="bottom" textRotation="0" wrapText="false" indent="1" shrinkToFit="false"/>
      <protection locked="true" hidden="false"/>
    </xf>
    <xf numFmtId="164" fontId="8" fillId="3" borderId="1" xfId="0" applyFont="true" applyBorder="true" applyAlignment="true" applyProtection="false">
      <alignment horizontal="left" vertical="bottom" textRotation="0" wrapText="false" indent="0" shrinkToFit="false"/>
      <protection locked="true" hidden="false"/>
    </xf>
    <xf numFmtId="165" fontId="5" fillId="3" borderId="1" xfId="0" applyFont="true" applyBorder="true" applyAlignment="true" applyProtection="false">
      <alignment horizontal="right" vertical="bottom" textRotation="0" wrapText="false" indent="0" shrinkToFit="false"/>
      <protection locked="true" hidden="false"/>
    </xf>
    <xf numFmtId="166" fontId="5" fillId="3" borderId="1" xfId="0" applyFont="true" applyBorder="true" applyAlignment="true" applyProtection="false">
      <alignment horizontal="right" vertical="bottom" textRotation="0" wrapText="false" indent="0" shrinkToFit="false"/>
      <protection locked="true" hidden="false"/>
    </xf>
    <xf numFmtId="167" fontId="5" fillId="3" borderId="1" xfId="0" applyFont="true" applyBorder="true" applyAlignment="true" applyProtection="false">
      <alignment horizontal="right" vertical="bottom" textRotation="0" wrapText="false" indent="0" shrinkToFit="false"/>
      <protection locked="true" hidden="false"/>
    </xf>
    <xf numFmtId="166" fontId="10" fillId="3" borderId="1" xfId="0" applyFont="true" applyBorder="true" applyAlignment="true" applyProtection="false">
      <alignment horizontal="right" vertical="bottom" textRotation="0" wrapText="false" indent="0" shrinkToFit="false"/>
      <protection locked="true" hidden="false"/>
    </xf>
    <xf numFmtId="165" fontId="5" fillId="6" borderId="1" xfId="0" applyFont="true" applyBorder="true" applyAlignment="true" applyProtection="false">
      <alignment horizontal="right" vertical="bottom" textRotation="0" wrapText="false" indent="0" shrinkToFit="false"/>
      <protection locked="true" hidden="false"/>
    </xf>
    <xf numFmtId="167" fontId="5" fillId="10" borderId="1" xfId="0" applyFont="true" applyBorder="true" applyAlignment="true" applyProtection="false">
      <alignment horizontal="right" vertical="bottom" textRotation="0" wrapText="false" indent="0" shrinkToFit="false"/>
      <protection locked="true" hidden="false"/>
    </xf>
    <xf numFmtId="164" fontId="8" fillId="6" borderId="1" xfId="0" applyFont="true" applyBorder="true" applyAlignment="true" applyProtection="false">
      <alignment horizontal="left" vertical="bottom" textRotation="0" wrapText="false" indent="0" shrinkToFit="false"/>
      <protection locked="true" hidden="false"/>
    </xf>
    <xf numFmtId="166" fontId="10" fillId="6" borderId="1" xfId="0" applyFont="true" applyBorder="true" applyAlignment="true" applyProtection="false">
      <alignment horizontal="right" vertical="bottom" textRotation="0" wrapText="false" indent="0" shrinkToFit="false"/>
      <protection locked="true" hidden="false"/>
    </xf>
    <xf numFmtId="164" fontId="8" fillId="7" borderId="1" xfId="0" applyFont="true" applyBorder="true" applyAlignment="true" applyProtection="false">
      <alignment horizontal="left" vertical="bottom" textRotation="0" wrapText="false" indent="0" shrinkToFit="false"/>
      <protection locked="true" hidden="false"/>
    </xf>
    <xf numFmtId="166" fontId="10" fillId="7" borderId="1" xfId="0" applyFont="true" applyBorder="true" applyAlignment="true" applyProtection="false">
      <alignment horizontal="right" vertical="bottom" textRotation="0" wrapText="false" indent="0" shrinkToFit="false"/>
      <protection locked="true" hidden="false"/>
    </xf>
    <xf numFmtId="164" fontId="8" fillId="8" borderId="1" xfId="0" applyFont="true" applyBorder="true" applyAlignment="true" applyProtection="false">
      <alignment horizontal="left" vertical="bottom" textRotation="0" wrapText="false" indent="0" shrinkToFit="false"/>
      <protection locked="true" hidden="false"/>
    </xf>
    <xf numFmtId="166" fontId="10" fillId="8" borderId="1" xfId="0" applyFont="true" applyBorder="true" applyAlignment="true" applyProtection="false">
      <alignment horizontal="right" vertical="bottom" textRotation="0" wrapText="false" indent="0" shrinkToFit="false"/>
      <protection locked="true" hidden="false"/>
    </xf>
    <xf numFmtId="164" fontId="8" fillId="9" borderId="1" xfId="0" applyFont="true" applyBorder="true" applyAlignment="true" applyProtection="false">
      <alignment horizontal="left" vertical="bottom" textRotation="0" wrapText="false" indent="0" shrinkToFit="false"/>
      <protection locked="true" hidden="false"/>
    </xf>
    <xf numFmtId="166" fontId="10" fillId="9" borderId="1" xfId="0" applyFont="true" applyBorder="true" applyAlignment="true" applyProtection="false">
      <alignment horizontal="right" vertical="bottom" textRotation="0" wrapText="false" indent="0" shrinkToFit="false"/>
      <protection locked="true" hidden="false"/>
    </xf>
    <xf numFmtId="168" fontId="11" fillId="7" borderId="1" xfId="0" applyFont="true" applyBorder="true" applyAlignment="true" applyProtection="false">
      <alignment horizontal="center" vertical="bottom" textRotation="0" wrapText="false" indent="0" shrinkToFit="false"/>
      <protection locked="true" hidden="false"/>
    </xf>
    <xf numFmtId="168" fontId="11" fillId="11" borderId="1" xfId="0" applyFont="true" applyBorder="true" applyAlignment="true" applyProtection="false">
      <alignment horizontal="center" vertical="bottom" textRotation="0" wrapText="false" indent="0" shrinkToFit="false"/>
      <protection locked="true" hidden="false"/>
    </xf>
    <xf numFmtId="169" fontId="12" fillId="3" borderId="1" xfId="0" applyFont="true" applyBorder="true" applyAlignment="true" applyProtection="false">
      <alignment horizontal="center" vertical="bottom" textRotation="0" wrapText="false" indent="0" shrinkToFit="false"/>
      <protection locked="true" hidden="false"/>
    </xf>
    <xf numFmtId="168" fontId="11" fillId="12" borderId="1" xfId="0" applyFont="true" applyBorder="true" applyAlignment="true" applyProtection="false">
      <alignment horizontal="center" vertical="bottom" textRotation="0" wrapText="false" indent="0" shrinkToFit="false"/>
      <protection locked="true" hidden="false"/>
    </xf>
    <xf numFmtId="164" fontId="5" fillId="11" borderId="1" xfId="0" applyFont="true" applyBorder="true" applyAlignment="true" applyProtection="false">
      <alignment horizontal="left" vertical="bottom" textRotation="0" wrapText="false" indent="0" shrinkToFit="false"/>
      <protection locked="true" hidden="false"/>
    </xf>
    <xf numFmtId="164" fontId="8" fillId="11" borderId="2" xfId="0" applyFont="true" applyBorder="true" applyAlignment="true" applyProtection="false">
      <alignment horizontal="left" vertical="bottom" textRotation="0" wrapText="false" indent="0" shrinkToFit="false"/>
      <protection locked="true" hidden="false"/>
    </xf>
    <xf numFmtId="164" fontId="8" fillId="7" borderId="2" xfId="0" applyFont="true" applyBorder="true" applyAlignment="true" applyProtection="false">
      <alignment horizontal="left" vertical="bottom" textRotation="0" wrapText="false" indent="0" shrinkToFit="false"/>
      <protection locked="true" hidden="false"/>
    </xf>
    <xf numFmtId="164" fontId="5" fillId="12" borderId="1" xfId="0" applyFont="true" applyBorder="true" applyAlignment="true" applyProtection="false">
      <alignment horizontal="left" vertical="bottom" textRotation="0" wrapText="false" indent="0" shrinkToFit="false"/>
      <protection locked="true" hidden="false"/>
    </xf>
    <xf numFmtId="164" fontId="8" fillId="12" borderId="2" xfId="0" applyFont="true" applyBorder="true" applyAlignment="true" applyProtection="false">
      <alignment horizontal="left" vertical="bottom" textRotation="0" wrapText="false" indent="0" shrinkToFit="false"/>
      <protection locked="true" hidden="false"/>
    </xf>
    <xf numFmtId="164" fontId="13" fillId="3" borderId="2" xfId="0" applyFont="true" applyBorder="true" applyAlignment="true" applyProtection="false">
      <alignment horizontal="left" vertical="bottom" textRotation="0" wrapText="true" indent="1" shrinkToFit="false"/>
      <protection locked="true" hidden="false"/>
    </xf>
    <xf numFmtId="164" fontId="13" fillId="6" borderId="2" xfId="0" applyFont="true" applyBorder="true" applyAlignment="true" applyProtection="false">
      <alignment horizontal="left" vertical="bottom" textRotation="0" wrapText="true" indent="1" shrinkToFit="false"/>
      <protection locked="true" hidden="false"/>
    </xf>
    <xf numFmtId="164" fontId="13" fillId="7" borderId="2" xfId="0" applyFont="true" applyBorder="true" applyAlignment="true" applyProtection="false">
      <alignment horizontal="left" vertical="bottom" textRotation="0" wrapText="true" indent="1"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14" fillId="2" borderId="0" xfId="0" applyFont="true" applyBorder="false" applyAlignment="true" applyProtection="false">
      <alignment horizontal="left" vertical="bottom" textRotation="0" wrapText="true" indent="1" shrinkToFit="false"/>
      <protection locked="true" hidden="false"/>
    </xf>
    <xf numFmtId="164" fontId="8" fillId="13" borderId="0" xfId="0" applyFont="true" applyBorder="false" applyAlignment="true" applyProtection="false">
      <alignment horizontal="left" vertical="bottom" textRotation="0" wrapText="true" indent="1" shrinkToFit="false"/>
      <protection locked="true" hidden="false"/>
    </xf>
    <xf numFmtId="164" fontId="15" fillId="13" borderId="0" xfId="0" applyFont="true" applyBorder="false" applyAlignment="true" applyProtection="false">
      <alignment horizontal="left" vertical="bottom" textRotation="0" wrapText="true" indent="1" shrinkToFit="false"/>
      <protection locked="true" hidden="false"/>
    </xf>
    <xf numFmtId="164" fontId="16" fillId="3" borderId="0" xfId="0" applyFont="true" applyBorder="false" applyAlignment="true" applyProtection="false">
      <alignment horizontal="left" vertical="bottom" textRotation="0" wrapText="true" indent="1" shrinkToFit="false"/>
      <protection locked="true" hidden="false"/>
    </xf>
    <xf numFmtId="164" fontId="8" fillId="7" borderId="0" xfId="0" applyFont="true" applyBorder="false" applyAlignment="true" applyProtection="false">
      <alignment horizontal="left" vertical="bottom"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8DAEF"/>
      <rgbColor rgb="FFC6EFCE"/>
      <rgbColor rgb="FFFCE4D6"/>
      <rgbColor rgb="FF99CCFF"/>
      <rgbColor rgb="FFFF99CC"/>
      <rgbColor rgb="FFCC99FF"/>
      <rgbColor rgb="FFFFDCE0"/>
      <rgbColor rgb="FF4472C4"/>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2"/>
    <col collapsed="false" customWidth="true" hidden="false" outlineLevel="0" max="5" min="4" style="0" width="14"/>
    <col collapsed="false" customWidth="true" hidden="false" outlineLevel="0" max="10" min="6" style="0" width="12"/>
    <col collapsed="false" customWidth="true" hidden="false" outlineLevel="0" max="11" min="11" style="0" width="20"/>
  </cols>
  <sheetData>
    <row r="1" customFormat="false" ht="30" hidden="false" customHeight="true" outlineLevel="0" collapsed="false">
      <c r="A1" s="1" t="s">
        <v>0</v>
      </c>
      <c r="B1" s="1"/>
      <c r="C1" s="1"/>
      <c r="D1" s="1"/>
      <c r="E1" s="1"/>
      <c r="F1" s="1"/>
      <c r="G1" s="1"/>
      <c r="H1" s="1"/>
      <c r="I1" s="1"/>
      <c r="J1" s="1"/>
      <c r="K1" s="1"/>
    </row>
    <row r="2" customFormat="false" ht="18" hidden="false" customHeight="true" outlineLevel="0" collapsed="false">
      <c r="A2" s="2" t="s">
        <v>1</v>
      </c>
      <c r="B2" s="2"/>
      <c r="C2" s="2"/>
      <c r="D2" s="2"/>
      <c r="E2" s="2"/>
      <c r="F2" s="2"/>
      <c r="G2" s="2"/>
      <c r="H2" s="2"/>
      <c r="I2" s="2"/>
      <c r="J2" s="2"/>
      <c r="K2" s="2"/>
    </row>
    <row r="3" customFormat="false" ht="31.5" hidden="false" customHeight="true" outlineLevel="0" collapsed="false">
      <c r="A3" s="3" t="s">
        <v>2</v>
      </c>
      <c r="B3" s="3" t="s">
        <v>3</v>
      </c>
      <c r="C3" s="4" t="s">
        <v>4</v>
      </c>
      <c r="D3" s="4" t="s">
        <v>5</v>
      </c>
      <c r="E3" s="4" t="s">
        <v>6</v>
      </c>
      <c r="F3" s="4" t="s">
        <v>7</v>
      </c>
      <c r="G3" s="5" t="s">
        <v>8</v>
      </c>
      <c r="H3" s="5" t="s">
        <v>9</v>
      </c>
      <c r="I3" s="5" t="s">
        <v>10</v>
      </c>
      <c r="J3" s="5" t="s">
        <v>11</v>
      </c>
      <c r="K3" s="3" t="s">
        <v>12</v>
      </c>
    </row>
    <row r="4" customFormat="false" ht="19.5" hidden="false" customHeight="true" outlineLevel="0" collapsed="false">
      <c r="A4" s="6" t="s">
        <v>13</v>
      </c>
      <c r="B4" s="7" t="s">
        <v>14</v>
      </c>
      <c r="C4" s="8" t="n">
        <v>3100000</v>
      </c>
      <c r="D4" s="8" t="n">
        <v>3150000</v>
      </c>
      <c r="E4" s="8" t="n">
        <v>245122</v>
      </c>
      <c r="F4" s="8" t="n">
        <v>125000</v>
      </c>
      <c r="G4" s="9" t="n">
        <f aca="false">D4/E4</f>
        <v>12.8507437112948</v>
      </c>
      <c r="H4" s="9" t="n">
        <f aca="false">D4/F4</f>
        <v>25.2</v>
      </c>
      <c r="I4" s="9" t="n">
        <v>35.2</v>
      </c>
      <c r="J4" s="10" t="n">
        <v>0.157</v>
      </c>
      <c r="K4" s="11" t="s">
        <v>15</v>
      </c>
    </row>
    <row r="5" customFormat="false" ht="19.5" hidden="false" customHeight="true" outlineLevel="0" collapsed="false">
      <c r="A5" s="12" t="s">
        <v>16</v>
      </c>
      <c r="B5" s="13" t="s">
        <v>17</v>
      </c>
      <c r="C5" s="14" t="n">
        <v>2800000</v>
      </c>
      <c r="D5" s="14" t="n">
        <v>2755000</v>
      </c>
      <c r="E5" s="14" t="n">
        <v>391035</v>
      </c>
      <c r="F5" s="14" t="n">
        <v>130000</v>
      </c>
      <c r="G5" s="15" t="n">
        <f aca="false">D5/E5</f>
        <v>7.04540514276216</v>
      </c>
      <c r="H5" s="15" t="n">
        <f aca="false">D5/F5</f>
        <v>21.1923076923077</v>
      </c>
      <c r="I5" s="15" t="n">
        <v>29.9</v>
      </c>
      <c r="J5" s="16" t="n">
        <v>0.021</v>
      </c>
      <c r="K5" s="17" t="s">
        <v>18</v>
      </c>
    </row>
    <row r="6" customFormat="false" ht="19.5" hidden="false" customHeight="true" outlineLevel="0" collapsed="false">
      <c r="A6" s="18" t="s">
        <v>19</v>
      </c>
      <c r="B6" s="19" t="s">
        <v>20</v>
      </c>
      <c r="C6" s="20" t="n">
        <v>2100000</v>
      </c>
      <c r="D6" s="20" t="n">
        <v>2050000</v>
      </c>
      <c r="E6" s="20" t="n">
        <v>307394</v>
      </c>
      <c r="F6" s="20" t="n">
        <v>97000</v>
      </c>
      <c r="G6" s="21" t="n">
        <f aca="false">D6/E6</f>
        <v>6.66896556211247</v>
      </c>
      <c r="H6" s="21" t="n">
        <f aca="false">D6/F6</f>
        <v>21.1340206185567</v>
      </c>
      <c r="I6" s="21" t="n">
        <v>28.5</v>
      </c>
      <c r="J6" s="22" t="n">
        <v>0.085</v>
      </c>
      <c r="K6" s="23" t="s">
        <v>21</v>
      </c>
    </row>
    <row r="7" customFormat="false" ht="19.5" hidden="false" customHeight="true" outlineLevel="0" collapsed="false">
      <c r="A7" s="24" t="s">
        <v>22</v>
      </c>
      <c r="B7" s="25" t="s">
        <v>23</v>
      </c>
      <c r="C7" s="26" t="n">
        <v>1350000</v>
      </c>
      <c r="D7" s="26" t="n">
        <v>1320000</v>
      </c>
      <c r="E7" s="26" t="n">
        <v>134902</v>
      </c>
      <c r="F7" s="26" t="n">
        <v>58000</v>
      </c>
      <c r="G7" s="27" t="n">
        <f aca="false">D7/E7</f>
        <v>9.78488087648812</v>
      </c>
      <c r="H7" s="27" t="n">
        <f aca="false">D7/F7</f>
        <v>22.7586206896552</v>
      </c>
      <c r="I7" s="27" t="n">
        <v>34.5</v>
      </c>
      <c r="J7" s="28" t="n">
        <v>0.161</v>
      </c>
      <c r="K7" s="29" t="s">
        <v>24</v>
      </c>
    </row>
    <row r="8" customFormat="false" ht="19.5" hidden="false" customHeight="true" outlineLevel="0" collapsed="false">
      <c r="A8" s="30" t="s">
        <v>25</v>
      </c>
      <c r="B8" s="31" t="s">
        <v>26</v>
      </c>
      <c r="C8" s="32" t="n">
        <v>1900000</v>
      </c>
      <c r="D8" s="32" t="n">
        <v>2050000</v>
      </c>
      <c r="E8" s="32" t="n">
        <v>590740</v>
      </c>
      <c r="F8" s="32" t="n">
        <v>85000</v>
      </c>
      <c r="G8" s="33" t="n">
        <f aca="false">D8/E8</f>
        <v>3.47022378711447</v>
      </c>
      <c r="H8" s="33" t="n">
        <f aca="false">D8/F8</f>
        <v>24.1176470588235</v>
      </c>
      <c r="I8" s="33" t="n">
        <v>32.1</v>
      </c>
      <c r="J8" s="34" t="n">
        <v>0.121</v>
      </c>
      <c r="K8" s="35" t="s">
        <v>27</v>
      </c>
    </row>
    <row r="10" customFormat="false" ht="18" hidden="false" customHeight="true" outlineLevel="0" collapsed="false">
      <c r="A10" s="36" t="s">
        <v>28</v>
      </c>
      <c r="B10" s="36"/>
      <c r="C10" s="36"/>
      <c r="D10" s="36"/>
      <c r="E10" s="36"/>
      <c r="F10" s="36"/>
      <c r="G10" s="36"/>
      <c r="H10" s="36"/>
      <c r="I10" s="36"/>
      <c r="J10" s="36"/>
      <c r="K10" s="36"/>
    </row>
    <row r="11" customFormat="false" ht="18" hidden="false" customHeight="true" outlineLevel="0" collapsed="false">
      <c r="A11" s="6" t="s">
        <v>29</v>
      </c>
      <c r="B11" s="37"/>
      <c r="C11" s="38" t="n">
        <f aca="false">AVERAGE(C4:C8)</f>
        <v>2250000</v>
      </c>
      <c r="D11" s="38" t="n">
        <f aca="false">AVERAGE(D4:D8)</f>
        <v>2265000</v>
      </c>
      <c r="E11" s="38" t="n">
        <f aca="false">AVERAGE(E4:E8)</f>
        <v>333838.6</v>
      </c>
      <c r="F11" s="38" t="n">
        <f aca="false">AVERAGE(F4:F8)</f>
        <v>99000</v>
      </c>
      <c r="G11" s="39" t="n">
        <f aca="false">AVERAGE(G4:G8)</f>
        <v>7.9640438159544</v>
      </c>
      <c r="H11" s="39" t="n">
        <f aca="false">AVERAGE(H4:H8)</f>
        <v>22.8805192118686</v>
      </c>
      <c r="I11" s="39" t="n">
        <f aca="false">AVERAGE(I4:I8)</f>
        <v>32.04</v>
      </c>
      <c r="J11" s="40" t="n">
        <f aca="false">AVERAGE(J4:J8)</f>
        <v>0.109</v>
      </c>
      <c r="K11" s="37"/>
    </row>
    <row r="12" customFormat="false" ht="18" hidden="false" customHeight="true" outlineLevel="0" collapsed="false">
      <c r="A12" s="6" t="s">
        <v>30</v>
      </c>
      <c r="B12" s="37"/>
      <c r="C12" s="38" t="n">
        <f aca="false">MEDIAN(C4:C8)</f>
        <v>2100000</v>
      </c>
      <c r="D12" s="38" t="n">
        <f aca="false">MEDIAN(D4:D8)</f>
        <v>2050000</v>
      </c>
      <c r="E12" s="38" t="n">
        <f aca="false">MEDIAN(E4:E8)</f>
        <v>307394</v>
      </c>
      <c r="F12" s="38" t="n">
        <f aca="false">MEDIAN(F4:F8)</f>
        <v>97000</v>
      </c>
      <c r="G12" s="39" t="n">
        <f aca="false">MEDIAN(G4:G8)</f>
        <v>7.04540514276216</v>
      </c>
      <c r="H12" s="39" t="n">
        <f aca="false">MEDIAN(H4:H8)</f>
        <v>22.7586206896552</v>
      </c>
      <c r="I12" s="39" t="n">
        <f aca="false">MEDIAN(I4:I8)</f>
        <v>32.1</v>
      </c>
      <c r="J12" s="40" t="n">
        <f aca="false">MEDIAN(J4:J8)</f>
        <v>0.121</v>
      </c>
      <c r="K12" s="37"/>
    </row>
    <row r="13" customFormat="false" ht="18" hidden="false" customHeight="true" outlineLevel="0" collapsed="false">
      <c r="A13" s="6" t="s">
        <v>31</v>
      </c>
      <c r="B13" s="37"/>
      <c r="C13" s="38" t="n">
        <f aca="false">MAX(C4:C8)</f>
        <v>3100000</v>
      </c>
      <c r="D13" s="38" t="n">
        <f aca="false">MAX(D4:D8)</f>
        <v>3150000</v>
      </c>
      <c r="E13" s="38" t="n">
        <f aca="false">MAX(E4:E8)</f>
        <v>590740</v>
      </c>
      <c r="F13" s="38" t="n">
        <f aca="false">MAX(F4:F8)</f>
        <v>130000</v>
      </c>
      <c r="G13" s="39" t="n">
        <f aca="false">MAX(G4:G8)</f>
        <v>12.8507437112948</v>
      </c>
      <c r="H13" s="39" t="n">
        <f aca="false">MAX(H4:H8)</f>
        <v>25.2</v>
      </c>
      <c r="I13" s="39" t="n">
        <f aca="false">MAX(I4:I8)</f>
        <v>35.2</v>
      </c>
      <c r="J13" s="40" t="n">
        <f aca="false">MAX(J4:J8)</f>
        <v>0.161</v>
      </c>
      <c r="K13" s="37"/>
    </row>
    <row r="14" customFormat="false" ht="18" hidden="false" customHeight="true" outlineLevel="0" collapsed="false">
      <c r="A14" s="6" t="s">
        <v>32</v>
      </c>
      <c r="B14" s="37"/>
      <c r="C14" s="38" t="n">
        <f aca="false">MIN(C4:C8)</f>
        <v>1350000</v>
      </c>
      <c r="D14" s="38" t="n">
        <f aca="false">MIN(D4:D8)</f>
        <v>1320000</v>
      </c>
      <c r="E14" s="38" t="n">
        <f aca="false">MIN(E4:E8)</f>
        <v>134902</v>
      </c>
      <c r="F14" s="38" t="n">
        <f aca="false">MIN(F4:F8)</f>
        <v>58000</v>
      </c>
      <c r="G14" s="39" t="n">
        <f aca="false">MIN(G4:G8)</f>
        <v>3.47022378711447</v>
      </c>
      <c r="H14" s="39" t="n">
        <f aca="false">MIN(H4:H8)</f>
        <v>21.1340206185567</v>
      </c>
      <c r="I14" s="39" t="n">
        <f aca="false">MIN(I4:I8)</f>
        <v>28.5</v>
      </c>
      <c r="J14" s="40" t="n">
        <f aca="false">MIN(J4:J8)</f>
        <v>0.021</v>
      </c>
      <c r="K14" s="37"/>
    </row>
  </sheetData>
  <mergeCells count="3">
    <mergeCell ref="A1:K1"/>
    <mergeCell ref="A2:K2"/>
    <mergeCell ref="A10:K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14"/>
    <col collapsed="false" customWidth="true" hidden="false" outlineLevel="0" max="7" min="7" style="0" width="22"/>
  </cols>
  <sheetData>
    <row r="1" customFormat="false" ht="30" hidden="false" customHeight="true" outlineLevel="0" collapsed="false">
      <c r="A1" s="1" t="s">
        <v>33</v>
      </c>
      <c r="B1" s="1"/>
      <c r="C1" s="1"/>
      <c r="D1" s="1"/>
      <c r="E1" s="1"/>
      <c r="F1" s="1"/>
      <c r="G1" s="1"/>
    </row>
    <row r="2" customFormat="false" ht="18" hidden="false" customHeight="true" outlineLevel="0" collapsed="false">
      <c r="A2" s="2" t="s">
        <v>34</v>
      </c>
      <c r="B2" s="2"/>
      <c r="C2" s="2"/>
      <c r="D2" s="2"/>
      <c r="E2" s="2"/>
      <c r="F2" s="2"/>
      <c r="G2" s="2"/>
    </row>
    <row r="3" customFormat="false" ht="31.5" hidden="false" customHeight="true" outlineLevel="0" collapsed="false">
      <c r="A3" s="4" t="s">
        <v>2</v>
      </c>
      <c r="B3" s="4" t="s">
        <v>35</v>
      </c>
      <c r="C3" s="4" t="s">
        <v>36</v>
      </c>
      <c r="D3" s="4" t="s">
        <v>37</v>
      </c>
      <c r="E3" s="4" t="s">
        <v>38</v>
      </c>
      <c r="F3" s="4" t="s">
        <v>39</v>
      </c>
      <c r="G3" s="4" t="s">
        <v>40</v>
      </c>
    </row>
    <row r="4" customFormat="false" ht="18" hidden="false" customHeight="true" outlineLevel="0" collapsed="false">
      <c r="A4" s="36" t="s">
        <v>41</v>
      </c>
      <c r="B4" s="36"/>
      <c r="C4" s="36"/>
      <c r="D4" s="36"/>
      <c r="E4" s="36"/>
      <c r="F4" s="36"/>
      <c r="G4" s="36"/>
    </row>
    <row r="5" customFormat="false" ht="18" hidden="false" customHeight="true" outlineLevel="0" collapsed="false">
      <c r="A5" s="6" t="s">
        <v>13</v>
      </c>
      <c r="B5" s="37" t="s">
        <v>42</v>
      </c>
      <c r="C5" s="8" t="n">
        <v>125000</v>
      </c>
      <c r="D5" s="41" t="n">
        <f aca="false">'Comps Table'!H11</f>
        <v>22.8805192118686</v>
      </c>
      <c r="E5" s="42" t="n">
        <f aca="false">C5*D5</f>
        <v>2860064.90148358</v>
      </c>
      <c r="F5" s="8" t="n">
        <v>3150000</v>
      </c>
      <c r="G5" s="43" t="n">
        <f aca="false">E5/F5-1</f>
        <v>-0.0920428884179119</v>
      </c>
    </row>
    <row r="6" customFormat="false" ht="18" hidden="false" customHeight="true" outlineLevel="0" collapsed="false">
      <c r="A6" s="12" t="s">
        <v>16</v>
      </c>
      <c r="B6" s="44" t="s">
        <v>42</v>
      </c>
      <c r="C6" s="14" t="n">
        <v>130000</v>
      </c>
      <c r="D6" s="45" t="n">
        <f aca="false">'Comps Table'!H11</f>
        <v>22.8805192118686</v>
      </c>
      <c r="E6" s="42" t="n">
        <f aca="false">C6*D6</f>
        <v>2974467.49754292</v>
      </c>
      <c r="F6" s="14" t="n">
        <v>2755000</v>
      </c>
      <c r="G6" s="43" t="n">
        <f aca="false">E6/F6-1</f>
        <v>0.0796615236090457</v>
      </c>
    </row>
    <row r="7" customFormat="false" ht="18" hidden="false" customHeight="true" outlineLevel="0" collapsed="false">
      <c r="A7" s="18" t="s">
        <v>19</v>
      </c>
      <c r="B7" s="46" t="s">
        <v>42</v>
      </c>
      <c r="C7" s="20" t="n">
        <v>97000</v>
      </c>
      <c r="D7" s="47" t="n">
        <f aca="false">'Comps Table'!H11</f>
        <v>22.8805192118686</v>
      </c>
      <c r="E7" s="42" t="n">
        <f aca="false">C7*D7</f>
        <v>2219410.36355126</v>
      </c>
      <c r="F7" s="20" t="n">
        <v>2050000</v>
      </c>
      <c r="G7" s="43" t="n">
        <f aca="false">E7/F7-1</f>
        <v>0.0826392017323201</v>
      </c>
    </row>
    <row r="8" customFormat="false" ht="18" hidden="false" customHeight="true" outlineLevel="0" collapsed="false">
      <c r="A8" s="24" t="s">
        <v>22</v>
      </c>
      <c r="B8" s="48" t="s">
        <v>42</v>
      </c>
      <c r="C8" s="26" t="n">
        <v>58000</v>
      </c>
      <c r="D8" s="49" t="n">
        <f aca="false">'Comps Table'!H11</f>
        <v>22.8805192118686</v>
      </c>
      <c r="E8" s="42" t="n">
        <f aca="false">C8*D8</f>
        <v>1327070.11428838</v>
      </c>
      <c r="F8" s="26" t="n">
        <v>1320000</v>
      </c>
      <c r="G8" s="43" t="n">
        <f aca="false">E8/F8-1</f>
        <v>0.00535614718816668</v>
      </c>
    </row>
    <row r="9" customFormat="false" ht="18" hidden="false" customHeight="true" outlineLevel="0" collapsed="false">
      <c r="A9" s="30" t="s">
        <v>25</v>
      </c>
      <c r="B9" s="50" t="s">
        <v>42</v>
      </c>
      <c r="C9" s="32" t="n">
        <v>85000</v>
      </c>
      <c r="D9" s="51" t="n">
        <f aca="false">'Comps Table'!H11</f>
        <v>22.8805192118686</v>
      </c>
      <c r="E9" s="42" t="n">
        <f aca="false">C9*D9</f>
        <v>1944844.13300883</v>
      </c>
      <c r="F9" s="32" t="n">
        <v>2050000</v>
      </c>
      <c r="G9" s="43" t="n">
        <f aca="false">E9/F9-1</f>
        <v>-0.0512955448737401</v>
      </c>
    </row>
    <row r="11" customFormat="false" ht="18" hidden="false" customHeight="true" outlineLevel="0" collapsed="false">
      <c r="A11" s="36" t="s">
        <v>43</v>
      </c>
      <c r="B11" s="36"/>
      <c r="C11" s="36"/>
      <c r="D11" s="36"/>
      <c r="E11" s="36"/>
      <c r="F11" s="36"/>
      <c r="G11" s="36"/>
    </row>
    <row r="12" customFormat="false" ht="18" hidden="false" customHeight="true" outlineLevel="0" collapsed="false">
      <c r="A12" s="6" t="s">
        <v>13</v>
      </c>
      <c r="B12" s="37" t="s">
        <v>44</v>
      </c>
      <c r="C12" s="8" t="n">
        <v>245122</v>
      </c>
      <c r="D12" s="41" t="n">
        <f aca="false">'Comps Table'!G11</f>
        <v>7.9640438159544</v>
      </c>
      <c r="E12" s="42" t="n">
        <f aca="false">C12*D12</f>
        <v>1952162.34825437</v>
      </c>
      <c r="F12" s="8" t="n">
        <v>3150000</v>
      </c>
      <c r="G12" s="43" t="n">
        <f aca="false">E12/F12-1</f>
        <v>-0.380265921189088</v>
      </c>
    </row>
    <row r="13" customFormat="false" ht="18" hidden="false" customHeight="true" outlineLevel="0" collapsed="false">
      <c r="A13" s="12" t="s">
        <v>16</v>
      </c>
      <c r="B13" s="44" t="s">
        <v>44</v>
      </c>
      <c r="C13" s="14" t="n">
        <v>391035</v>
      </c>
      <c r="D13" s="45" t="n">
        <f aca="false">'Comps Table'!G11</f>
        <v>7.9640438159544</v>
      </c>
      <c r="E13" s="42" t="n">
        <f aca="false">C13*D13</f>
        <v>3114219.87357173</v>
      </c>
      <c r="F13" s="14" t="n">
        <v>2755000</v>
      </c>
      <c r="G13" s="43" t="n">
        <f aca="false">E13/F13-1</f>
        <v>0.130388338864511</v>
      </c>
    </row>
    <row r="14" customFormat="false" ht="18" hidden="false" customHeight="true" outlineLevel="0" collapsed="false">
      <c r="A14" s="18" t="s">
        <v>19</v>
      </c>
      <c r="B14" s="46" t="s">
        <v>44</v>
      </c>
      <c r="C14" s="20" t="n">
        <v>307394</v>
      </c>
      <c r="D14" s="47" t="n">
        <f aca="false">'Comps Table'!G11</f>
        <v>7.9640438159544</v>
      </c>
      <c r="E14" s="42" t="n">
        <f aca="false">C14*D14</f>
        <v>2448099.28476149</v>
      </c>
      <c r="F14" s="20" t="n">
        <v>2050000</v>
      </c>
      <c r="G14" s="43" t="n">
        <f aca="false">E14/F14-1</f>
        <v>0.194194773054384</v>
      </c>
    </row>
    <row r="15" customFormat="false" ht="18" hidden="false" customHeight="true" outlineLevel="0" collapsed="false">
      <c r="A15" s="24" t="s">
        <v>22</v>
      </c>
      <c r="B15" s="48" t="s">
        <v>44</v>
      </c>
      <c r="C15" s="26" t="n">
        <v>134902</v>
      </c>
      <c r="D15" s="49" t="n">
        <f aca="false">'Comps Table'!G11</f>
        <v>7.9640438159544</v>
      </c>
      <c r="E15" s="42" t="n">
        <f aca="false">C15*D15</f>
        <v>1074365.43885988</v>
      </c>
      <c r="F15" s="26" t="n">
        <v>1320000</v>
      </c>
      <c r="G15" s="43" t="n">
        <f aca="false">E15/F15-1</f>
        <v>-0.186086788742515</v>
      </c>
    </row>
    <row r="16" customFormat="false" ht="18" hidden="false" customHeight="true" outlineLevel="0" collapsed="false">
      <c r="A16" s="30" t="s">
        <v>25</v>
      </c>
      <c r="B16" s="50" t="s">
        <v>44</v>
      </c>
      <c r="C16" s="32" t="n">
        <v>590740</v>
      </c>
      <c r="D16" s="51" t="n">
        <f aca="false">'Comps Table'!G11</f>
        <v>7.9640438159544</v>
      </c>
      <c r="E16" s="42" t="n">
        <f aca="false">C16*D16</f>
        <v>4704679.2438369</v>
      </c>
      <c r="F16" s="32" t="n">
        <v>2050000</v>
      </c>
      <c r="G16" s="43" t="n">
        <f aca="false">E16/F16-1</f>
        <v>1.29496548479849</v>
      </c>
    </row>
  </sheetData>
  <mergeCells count="4">
    <mergeCell ref="A1:G1"/>
    <mergeCell ref="A2:G2"/>
    <mergeCell ref="A4:G4"/>
    <mergeCell ref="A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6" min="2" style="0" width="12"/>
    <col collapsed="false" customWidth="true" hidden="false" outlineLevel="0" max="7" min="7" style="0" width="32"/>
  </cols>
  <sheetData>
    <row r="1" customFormat="false" ht="30" hidden="false" customHeight="true" outlineLevel="0" collapsed="false">
      <c r="A1" s="1" t="s">
        <v>45</v>
      </c>
      <c r="B1" s="1"/>
      <c r="C1" s="1"/>
      <c r="D1" s="1"/>
      <c r="E1" s="1"/>
      <c r="F1" s="1"/>
      <c r="G1" s="1"/>
    </row>
    <row r="2" customFormat="false" ht="18" hidden="false" customHeight="true" outlineLevel="0" collapsed="false">
      <c r="A2" s="2" t="s">
        <v>46</v>
      </c>
      <c r="B2" s="2"/>
      <c r="C2" s="2"/>
      <c r="D2" s="2"/>
      <c r="E2" s="2"/>
      <c r="F2" s="2"/>
      <c r="G2" s="2"/>
    </row>
    <row r="3" customFormat="false" ht="31.5" hidden="false" customHeight="true" outlineLevel="0" collapsed="false">
      <c r="A3" s="4" t="s">
        <v>2</v>
      </c>
      <c r="B3" s="4" t="s">
        <v>47</v>
      </c>
      <c r="C3" s="4" t="s">
        <v>48</v>
      </c>
      <c r="D3" s="4" t="s">
        <v>49</v>
      </c>
      <c r="E3" s="4" t="s">
        <v>50</v>
      </c>
      <c r="F3" s="4" t="s">
        <v>51</v>
      </c>
      <c r="G3" s="4" t="s">
        <v>52</v>
      </c>
    </row>
    <row r="4" customFormat="false" ht="21.75" hidden="false" customHeight="true" outlineLevel="0" collapsed="false">
      <c r="A4" s="6" t="s">
        <v>13</v>
      </c>
      <c r="B4" s="52" t="n">
        <v>3</v>
      </c>
      <c r="C4" s="53" t="n">
        <v>2</v>
      </c>
      <c r="D4" s="52" t="n">
        <v>3</v>
      </c>
      <c r="E4" s="53" t="n">
        <v>2</v>
      </c>
      <c r="F4" s="54" t="n">
        <f aca="false">ROUND(AVERAGE(B4:E4),1)</f>
        <v>2.5</v>
      </c>
      <c r="G4" s="11" t="s">
        <v>53</v>
      </c>
    </row>
    <row r="5" customFormat="false" ht="21.75" hidden="false" customHeight="true" outlineLevel="0" collapsed="false">
      <c r="A5" s="12" t="s">
        <v>16</v>
      </c>
      <c r="B5" s="53" t="n">
        <v>2</v>
      </c>
      <c r="C5" s="53" t="n">
        <v>1</v>
      </c>
      <c r="D5" s="53" t="n">
        <v>2</v>
      </c>
      <c r="E5" s="55" t="n">
        <v>5</v>
      </c>
      <c r="F5" s="54" t="n">
        <f aca="false">ROUND(AVERAGE(B5:E5),1)</f>
        <v>2.5</v>
      </c>
      <c r="G5" s="17" t="s">
        <v>54</v>
      </c>
    </row>
    <row r="6" customFormat="false" ht="21.75" hidden="false" customHeight="true" outlineLevel="0" collapsed="false">
      <c r="A6" s="18" t="s">
        <v>19</v>
      </c>
      <c r="B6" s="53" t="n">
        <v>1</v>
      </c>
      <c r="C6" s="52" t="n">
        <v>3</v>
      </c>
      <c r="D6" s="53" t="n">
        <v>1</v>
      </c>
      <c r="E6" s="52" t="n">
        <v>3</v>
      </c>
      <c r="F6" s="54" t="n">
        <f aca="false">ROUND(AVERAGE(B6:E6),1)</f>
        <v>2</v>
      </c>
      <c r="G6" s="23" t="s">
        <v>55</v>
      </c>
    </row>
    <row r="7" customFormat="false" ht="21.75" hidden="false" customHeight="true" outlineLevel="0" collapsed="false">
      <c r="A7" s="24" t="s">
        <v>22</v>
      </c>
      <c r="B7" s="55" t="n">
        <v>4</v>
      </c>
      <c r="C7" s="55" t="n">
        <v>4</v>
      </c>
      <c r="D7" s="55" t="n">
        <v>4</v>
      </c>
      <c r="E7" s="53" t="n">
        <v>1</v>
      </c>
      <c r="F7" s="54" t="n">
        <f aca="false">ROUND(AVERAGE(B7:E7),1)</f>
        <v>3.3</v>
      </c>
      <c r="G7" s="29" t="s">
        <v>56</v>
      </c>
    </row>
    <row r="8" customFormat="false" ht="21.75" hidden="false" customHeight="true" outlineLevel="0" collapsed="false">
      <c r="A8" s="30" t="s">
        <v>25</v>
      </c>
      <c r="B8" s="55" t="n">
        <v>5</v>
      </c>
      <c r="C8" s="55" t="n">
        <v>5</v>
      </c>
      <c r="D8" s="55" t="n">
        <v>5</v>
      </c>
      <c r="E8" s="55" t="n">
        <v>4</v>
      </c>
      <c r="F8" s="54" t="n">
        <f aca="false">ROUND(AVERAGE(B8:E8),1)</f>
        <v>4.8</v>
      </c>
      <c r="G8" s="35" t="s">
        <v>57</v>
      </c>
    </row>
    <row r="10" customFormat="false" ht="18" hidden="false" customHeight="true" outlineLevel="0" collapsed="false">
      <c r="A10" s="36" t="s">
        <v>58</v>
      </c>
      <c r="B10" s="36"/>
      <c r="C10" s="36"/>
      <c r="D10" s="36"/>
      <c r="E10" s="36"/>
      <c r="F10" s="36"/>
      <c r="G10" s="36"/>
    </row>
    <row r="11" customFormat="false" ht="16.5" hidden="false" customHeight="true" outlineLevel="0" collapsed="false">
      <c r="A11" s="56" t="s">
        <v>59</v>
      </c>
      <c r="B11" s="57" t="s">
        <v>60</v>
      </c>
      <c r="C11" s="57"/>
      <c r="D11" s="57"/>
      <c r="E11" s="57"/>
      <c r="F11" s="57"/>
      <c r="G11" s="57"/>
    </row>
    <row r="12" customFormat="false" ht="16.5" hidden="false" customHeight="true" outlineLevel="0" collapsed="false">
      <c r="A12" s="18" t="s">
        <v>61</v>
      </c>
      <c r="B12" s="58" t="s">
        <v>62</v>
      </c>
      <c r="C12" s="58"/>
      <c r="D12" s="58"/>
      <c r="E12" s="58"/>
      <c r="F12" s="58"/>
      <c r="G12" s="58"/>
    </row>
    <row r="13" customFormat="false" ht="16.5" hidden="false" customHeight="true" outlineLevel="0" collapsed="false">
      <c r="A13" s="59" t="s">
        <v>63</v>
      </c>
      <c r="B13" s="60" t="s">
        <v>64</v>
      </c>
      <c r="C13" s="60"/>
      <c r="D13" s="60"/>
      <c r="E13" s="60"/>
      <c r="F13" s="60"/>
      <c r="G13" s="60"/>
    </row>
    <row r="15" customFormat="false" ht="39.75" hidden="false" customHeight="true" outlineLevel="0" collapsed="false">
      <c r="A15" s="6" t="s">
        <v>65</v>
      </c>
      <c r="B15" s="61" t="s">
        <v>66</v>
      </c>
      <c r="C15" s="61"/>
      <c r="D15" s="61"/>
      <c r="E15" s="61"/>
      <c r="F15" s="61"/>
      <c r="G15" s="61"/>
    </row>
    <row r="16" customFormat="false" ht="39.75" hidden="false" customHeight="true" outlineLevel="0" collapsed="false">
      <c r="A16" s="12" t="s">
        <v>67</v>
      </c>
      <c r="B16" s="62" t="s">
        <v>68</v>
      </c>
      <c r="C16" s="62"/>
      <c r="D16" s="62"/>
      <c r="E16" s="62"/>
      <c r="F16" s="62"/>
      <c r="G16" s="62"/>
    </row>
    <row r="17" customFormat="false" ht="39.75" hidden="false" customHeight="true" outlineLevel="0" collapsed="false">
      <c r="A17" s="46" t="s">
        <v>69</v>
      </c>
      <c r="B17" s="63" t="s">
        <v>70</v>
      </c>
      <c r="C17" s="63"/>
      <c r="D17" s="63"/>
      <c r="E17" s="63"/>
      <c r="F17" s="63"/>
      <c r="G17" s="63"/>
    </row>
  </sheetData>
  <mergeCells count="9">
    <mergeCell ref="A1:G1"/>
    <mergeCell ref="A2:G2"/>
    <mergeCell ref="A10:G10"/>
    <mergeCell ref="B11:G11"/>
    <mergeCell ref="B12:G12"/>
    <mergeCell ref="B13:G13"/>
    <mergeCell ref="B15:G15"/>
    <mergeCell ref="B16:G16"/>
    <mergeCell ref="B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7.75" hidden="false" customHeight="true" outlineLevel="0" collapsed="false">
      <c r="A1" s="64" t="s">
        <v>71</v>
      </c>
    </row>
    <row r="2" customFormat="false" ht="16.5" hidden="false" customHeight="true" outlineLevel="0" collapsed="false">
      <c r="A2" s="65" t="s">
        <v>72</v>
      </c>
    </row>
    <row r="3" customFormat="false" ht="16.5" hidden="false" customHeight="true" outlineLevel="0" collapsed="false">
      <c r="A3" s="66" t="s">
        <v>73</v>
      </c>
    </row>
    <row r="4" customFormat="false" ht="16.5" hidden="false" customHeight="true" outlineLevel="0" collapsed="false">
      <c r="A4" s="67"/>
    </row>
    <row r="5" customFormat="false" ht="16.5" hidden="false" customHeight="true" outlineLevel="0" collapsed="false">
      <c r="A5" s="68" t="s">
        <v>74</v>
      </c>
    </row>
    <row r="6" customFormat="false" ht="16.5" hidden="false" customHeight="true" outlineLevel="0" collapsed="false">
      <c r="A6" s="66" t="s">
        <v>75</v>
      </c>
    </row>
    <row r="7" customFormat="false" ht="16.5" hidden="false" customHeight="true" outlineLevel="0" collapsed="false">
      <c r="A7" s="66" t="s">
        <v>76</v>
      </c>
    </row>
    <row r="8" customFormat="false" ht="16.5" hidden="false" customHeight="true" outlineLevel="0" collapsed="false">
      <c r="A8" s="66" t="s">
        <v>77</v>
      </c>
    </row>
    <row r="9" customFormat="false" ht="16.5" hidden="false" customHeight="true" outlineLevel="0" collapsed="false">
      <c r="A9" s="66" t="s">
        <v>78</v>
      </c>
    </row>
    <row r="10" customFormat="false" ht="16.5" hidden="false" customHeight="true" outlineLevel="0" collapsed="false">
      <c r="A10" s="67"/>
    </row>
    <row r="11" customFormat="false" ht="16.5" hidden="false" customHeight="true" outlineLevel="0" collapsed="false">
      <c r="A11" s="68" t="s">
        <v>79</v>
      </c>
    </row>
    <row r="12" customFormat="false" ht="16.5" hidden="false" customHeight="true" outlineLevel="0" collapsed="false">
      <c r="A12" s="66" t="s">
        <v>80</v>
      </c>
    </row>
    <row r="13" customFormat="false" ht="16.5" hidden="false" customHeight="true" outlineLevel="0" collapsed="false">
      <c r="A13" s="66" t="s">
        <v>81</v>
      </c>
    </row>
    <row r="14" customFormat="false" ht="16.5" hidden="false" customHeight="true" outlineLevel="0" collapsed="false">
      <c r="A14" s="66" t="s">
        <v>82</v>
      </c>
    </row>
    <row r="15" customFormat="false" ht="16.5" hidden="false" customHeight="true" outlineLevel="0" collapsed="false">
      <c r="A15" s="66" t="s">
        <v>83</v>
      </c>
    </row>
    <row r="16" customFormat="false" ht="16.5" hidden="false" customHeight="true" outlineLevel="0" collapsed="false">
      <c r="A16" s="66" t="s">
        <v>84</v>
      </c>
    </row>
    <row r="17" customFormat="false" ht="16.5" hidden="false" customHeight="true" outlineLevel="0" collapsed="false">
      <c r="A17" s="67"/>
    </row>
    <row r="18" customFormat="false" ht="16.5" hidden="false" customHeight="true" outlineLevel="0" collapsed="false">
      <c r="A18" s="68" t="s">
        <v>85</v>
      </c>
    </row>
    <row r="19" customFormat="false" ht="16.5" hidden="false" customHeight="true" outlineLevel="0" collapsed="false">
      <c r="A19" s="66" t="s">
        <v>86</v>
      </c>
    </row>
    <row r="20" customFormat="false" ht="16.5" hidden="false" customHeight="true" outlineLevel="0" collapsed="false">
      <c r="A20" s="66" t="s">
        <v>87</v>
      </c>
    </row>
    <row r="21" customFormat="false" ht="16.5" hidden="false" customHeight="true" outlineLevel="0" collapsed="false">
      <c r="A21" s="66" t="s">
        <v>88</v>
      </c>
    </row>
    <row r="22" customFormat="false" ht="16.5" hidden="false" customHeight="true" outlineLevel="0" collapsed="false">
      <c r="A22" s="66" t="s">
        <v>89</v>
      </c>
    </row>
    <row r="23" customFormat="false" ht="16.5" hidden="false" customHeight="true" outlineLevel="0" collapsed="false">
      <c r="A23" s="66" t="s">
        <v>90</v>
      </c>
    </row>
    <row r="24" customFormat="false" ht="16.5" hidden="false" customHeight="true" outlineLevel="0" collapsed="false">
      <c r="A24" s="66" t="s">
        <v>91</v>
      </c>
    </row>
    <row r="25" customFormat="false" ht="16.5" hidden="false" customHeight="true" outlineLevel="0" collapsed="false">
      <c r="A25" s="67"/>
    </row>
    <row r="26" customFormat="false" ht="16.5" hidden="false" customHeight="true" outlineLevel="0" collapsed="false">
      <c r="A26" s="69"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2026-05-23T15:43:36Z</dcterms:created>
  <dc:creator>openpyxl</dc:creator>
  <dc:description/>
  <dc:language>en-US</dc:language>
  <cp:lastModifiedBy/>
  <dcterms:modified xsi:type="dcterms:W3CDTF">2026-05-23T15:43:36Z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